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0fe36cf1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e" sheetId="1" r:id="R4c07bc609e5f466c"/>
    <x:sheet xmlns:r="http://schemas.openxmlformats.org/officeDocument/2006/relationships" name="Example" sheetId="2" r:id="R3819f024181a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0"/>
    <x:numFmt numFmtId="202" formatCode="&quot;$&quot;#,##0.00"/>
    <x:numFmt numFmtId="203" formatCode="@"/>
  </x:numFmts>
  <x:fonts count="8">
    <x:font>
      <x:sz val="11"/>
      <x:name val="Carlito"/>
    </x:font>
    <x:font>
      <x:sz val="11"/>
      <x:color rgb="FF182D3B"/>
      <x:name val="Arial"/>
    </x:font>
    <x:font>
      <x:b/>
      <x:sz val="16"/>
      <x:color rgb="FF182D3B"/>
      <x:name val="Arial"/>
    </x:font>
    <x:font>
      <x:sz val="11"/>
      <x:color rgb="FF0C7182"/>
      <x:name val="Arial"/>
    </x:font>
    <x:font>
      <x:sz val="10"/>
      <x:color rgb="FF576570"/>
      <x:name val="Arial"/>
    </x:font>
    <x:font>
      <x:b/>
      <x:sz val="11"/>
      <x:color rgb="FFFFFFFF"/>
      <x:name val="Arial"/>
    </x:font>
    <x:font>
      <x:b/>
      <x:sz val="14"/>
      <x:color rgb="FF182D3B"/>
      <x:name val="Arial"/>
    </x:font>
    <x:font>
      <x:b/>
      <x:sz val="11"/>
      <x:color rgb="FF182D3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2D3B"/>
      </x:patternFill>
    </x:fill>
    <x:fill>
      <x:patternFill patternType="solid">
        <x:fgColor rgb="FFE8F3F3"/>
      </x:patternFill>
    </x:fill>
    <x:fill>
      <x:patternFill patternType="solid">
        <x:fgColor rgb="FFFFF5D6"/>
      </x:patternFill>
    </x:fill>
    <x:fill>
      <x:patternFill patternType="solid">
        <x:fgColor rgb="FFEDF1F4"/>
      </x:patternFill>
    </x:fill>
    <x:fill>
      <x:patternFill patternType="solid">
        <x:fgColor rgb="FFF5F7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  <x:dxf>
      <x:font>
        <x:color rgb="FF9F3E21"/>
      </x:font>
      <x:fill>
        <x:patternFill patternType="solid">
          <x:bgColor rgb="FFFF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f3f62e140403f" /><Relationship Type="http://schemas.openxmlformats.org/officeDocument/2006/relationships/theme" Target="/xl/theme/theme1.xml" Id="Rcf5dcc5062b244fa" /><Relationship Type="http://schemas.openxmlformats.org/officeDocument/2006/relationships/sharedStrings" Target="/xl/sharedStrings.xml" Id="R46395c30ac444b3e" /><Relationship Type="http://schemas.openxmlformats.org/officeDocument/2006/relationships/worksheet" Target="/xl/worksheets/sheet1.xml" Id="R4c07bc609e5f466c" /><Relationship Type="http://schemas.openxmlformats.org/officeDocument/2006/relationships/worksheet" Target="/xl/worksheets/sheet2.xml" Id="R3819f024181a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OfficialWebsite" Type="http://schemas.openxmlformats.org/officeDocument/2006/relationships/hyperlink" Target="https://flushotsnearme.com/" TargetMode="External" /><ns0:Relationship Id="rIdCostGuide" Type="http://schemas.openxmlformats.org/officeDocument/2006/relationships/hyperlink" Target="https://flushotsnearme.com/flu-shot-cost/" TargetMode="External" /></ns0:Relationships>
</file>

<file path=xl/worksheets/_rels/sheet2.xml.rels><?xml version='1.0' encoding='utf-8'?>
<ns0:Relationships xmlns:ns0="http://schemas.openxmlformats.org/package/2006/relationships"><ns0:Relationship Id="rIdOfficialWebsite" Type="http://schemas.openxmlformats.org/officeDocument/2006/relationships/hyperlink" Target="https://flushotsnearme.com/" TargetMode="External" /><ns0:Relationship Id="rIdCostGuide" Type="http://schemas.openxmlformats.org/officeDocument/2006/relationships/hyperlink" Target="https://flushotsnearme.com/flu-shot-cost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C7182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9" hidden="0" customWidth="1"/>
    <col min="2" max="2" width="27" hidden="0" customWidth="1"/>
    <col min="3" max="3" width="27" hidden="0" customWidth="1"/>
    <col min="4" max="4" width="27" hidden="0" customWidth="1"/>
  </cols>
  <sheetData>
    <row r="1" ht="26" customHeight="1">
      <c r="A1" s="2"/>
      <c r="B1" s="2"/>
      <c r="C1" s="2"/>
      <c r="D1" s="2"/>
    </row>
    <row r="2" ht="34" customHeight="1">
      <c r="A2" s="3" t="str">
        <v>Flu shot cost comparison</v>
      </c>
      <c r="B2" s="2"/>
      <c r="C2" s="2"/>
      <c r="D2" s="2"/>
    </row>
    <row r="3" ht="26" customHeight="1">
      <c r="A3" s="4" t="str">
        <v>https://flushotsnearme.com/</v>
      </c>
      <c r="B3" s="4"/>
      <c r="C3" s="4" t="str">
        <v>https://flushotsnearme.com/flu-shot-cost/</v>
      </c>
      <c r="D3" s="4"/>
    </row>
    <row r="4" ht="26" customHeight="1">
      <c r="A4" s="5" t="str">
        <v>Yellow cells are editable.</v>
      </c>
      <c r="B4" s="5" t="str">
        <v>USD. Blank fees stay unknown.</v>
      </c>
      <c r="C4" s="5"/>
      <c r="D4" s="5" t="str">
        <v>Up to 4 people / 3 options.</v>
      </c>
    </row>
    <row r="5" ht="30" customHeight="1">
      <c r="A5" s="7" t="str">
        <v>Comparison</v>
      </c>
      <c r="B5" s="8" t="str">
        <v>Option A</v>
      </c>
      <c r="C5" s="8" t="str">
        <v>Option B</v>
      </c>
      <c r="D5" s="8" t="str">
        <v>Option C</v>
      </c>
    </row>
    <row r="6" ht="34" customHeight="1">
      <c r="A6" s="10" t="str">
        <v>Estimated total</v>
      </c>
      <c r="B6" s="24" t="str">
        <f>B43</f>
        <v>Check people</v>
      </c>
      <c r="C6" s="24" t="str">
        <f>C43</f>
        <v>Check people</v>
      </c>
      <c r="D6" s="24" t="str">
        <f>D43</f>
        <v>Check people</v>
      </c>
    </row>
    <row r="7" ht="26" customHeight="1">
      <c r="A7" s="2"/>
      <c r="B7" s="2"/>
      <c r="C7" s="2"/>
      <c r="D7" s="2"/>
    </row>
    <row r="8" ht="36" customHeight="1">
      <c r="A8" s="2" t="str">
        <v>Provider / location</v>
      </c>
      <c r="B8" s="12"/>
      <c r="C8" s="12"/>
      <c r="D8" s="12"/>
    </row>
    <row r="9" ht="36" customHeight="1">
      <c r="A9" s="2" t="str">
        <v>Quote source or contact</v>
      </c>
      <c r="B9" s="12"/>
      <c r="C9" s="12"/>
      <c r="D9" s="12"/>
    </row>
    <row r="10" ht="36" customHeight="1">
      <c r="A10" s="2" t="str">
        <v>Date checked (MM/DD/YY)</v>
      </c>
      <c r="B10" s="13"/>
      <c r="C10" s="13"/>
      <c r="D10" s="13"/>
    </row>
    <row r="11" ht="36" customHeight="1">
      <c r="A11" s="2" t="str">
        <v>Conditions to confirm</v>
      </c>
      <c r="B11" s="12"/>
      <c r="C11" s="12"/>
      <c r="D11" s="12"/>
    </row>
    <row r="12" ht="26" customHeight="1">
      <c r="A12" s="2"/>
      <c r="B12" s="2"/>
      <c r="C12" s="2"/>
      <c r="D12" s="2"/>
    </row>
    <row r="13" ht="26" customHeight="1">
      <c r="A13" s="15" t="str">
        <v>Person 1</v>
      </c>
      <c r="B13" s="15"/>
      <c r="C13" s="15"/>
      <c r="D13" s="15"/>
    </row>
    <row r="14" ht="34" customHeight="1">
      <c r="A14" s="2" t="str">
        <v>Product quoted</v>
      </c>
      <c r="B14" s="12"/>
      <c r="C14" s="12"/>
      <c r="D14" s="12"/>
    </row>
    <row r="15" ht="26" customHeight="1">
      <c r="A15" s="2" t="str">
        <v>Remaining doses (confirmed)</v>
      </c>
      <c r="B15" s="16"/>
      <c r="C15" s="16"/>
      <c r="D15" s="16"/>
    </row>
    <row r="16" ht="26" customHeight="1">
      <c r="A16" s="2" t="str">
        <v>Price per dose</v>
      </c>
      <c r="B16" s="17"/>
      <c r="C16" s="17"/>
      <c r="D16" s="17"/>
    </row>
    <row r="17" ht="26" customHeight="1">
      <c r="A17" s="2" t="str">
        <v>Line cost = doses × price</v>
      </c>
      <c r="B17" s="19" t="str">
        <f>IF(COUNTA(B14:B16)=0,"",IF(NOT(ISNUMBER(B15)),"Add doses",IF(OR(B15&lt;0,B15&gt;10,B15&lt;&gt;INT(B15)),"Check doses",IF(B15=0,0,IF(NOT(ISNUMBER(B16)),"Add price",IF(OR(B16&lt;0,B16&gt;1000000),"Check amount",IF(ROUND(B16,2)&lt;&gt;B16,"Use cents",ROUND(B16*100,0)*B15/100)))))))</f>
      </c>
      <c r="C17" s="19" t="str">
        <f>IF(COUNTA(C14:C16)=0,"",IF(NOT(ISNUMBER(C15)),"Add doses",IF(OR(C15&lt;0,C15&gt;10,C15&lt;&gt;INT(C15)),"Check doses",IF(C15=0,0,IF(NOT(ISNUMBER(C16)),"Add price",IF(OR(C16&lt;0,C16&gt;1000000),"Check amount",IF(ROUND(C16,2)&lt;&gt;C16,"Use cents",ROUND(C16*100,0)*C15/100)))))))</f>
      </c>
      <c r="D17" s="19" t="str">
        <f>IF(COUNTA(D14:D16)=0,"",IF(NOT(ISNUMBER(D15)),"Add doses",IF(OR(D15&lt;0,D15&gt;10,D15&lt;&gt;INT(D15)),"Check doses",IF(D15=0,0,IF(NOT(ISNUMBER(D16)),"Add price",IF(OR(D16&lt;0,D16&gt;1000000),"Check amount",IF(ROUND(D16,2)&lt;&gt;D16,"Use cents",ROUND(D16*100,0)*D15/100)))))))</f>
      </c>
    </row>
    <row r="18" ht="26" customHeight="1">
      <c r="A18" s="15" t="str">
        <v>Person 2</v>
      </c>
      <c r="B18" s="15"/>
      <c r="C18" s="15"/>
      <c r="D18" s="15"/>
    </row>
    <row r="19" ht="34" customHeight="1">
      <c r="A19" s="2" t="str">
        <v>Product quoted</v>
      </c>
      <c r="B19" s="12"/>
      <c r="C19" s="12"/>
      <c r="D19" s="12"/>
    </row>
    <row r="20" ht="26" customHeight="1">
      <c r="A20" s="2" t="str">
        <v>Remaining doses (confirmed)</v>
      </c>
      <c r="B20" s="16"/>
      <c r="C20" s="16"/>
      <c r="D20" s="16"/>
    </row>
    <row r="21" ht="26" customHeight="1">
      <c r="A21" s="2" t="str">
        <v>Price per dose</v>
      </c>
      <c r="B21" s="17"/>
      <c r="C21" s="17"/>
      <c r="D21" s="17"/>
    </row>
    <row r="22" ht="26" customHeight="1">
      <c r="A22" s="2" t="str">
        <v>Line cost = doses × price</v>
      </c>
      <c r="B22" s="19" t="str">
        <f>IF(COUNTA(B19:B21)=0,"",IF(NOT(ISNUMBER(B20)),"Add doses",IF(OR(B20&lt;0,B20&gt;10,B20&lt;&gt;INT(B20)),"Check doses",IF(B20=0,0,IF(NOT(ISNUMBER(B21)),"Add price",IF(OR(B21&lt;0,B21&gt;1000000),"Check amount",IF(ROUND(B21,2)&lt;&gt;B21,"Use cents",ROUND(B21*100,0)*B20/100)))))))</f>
      </c>
      <c r="C22" s="19" t="str">
        <f>IF(COUNTA(C19:C21)=0,"",IF(NOT(ISNUMBER(C20)),"Add doses",IF(OR(C20&lt;0,C20&gt;10,C20&lt;&gt;INT(C20)),"Check doses",IF(C20=0,0,IF(NOT(ISNUMBER(C21)),"Add price",IF(OR(C21&lt;0,C21&gt;1000000),"Check amount",IF(ROUND(C21,2)&lt;&gt;C21,"Use cents",ROUND(C21*100,0)*C20/100)))))))</f>
      </c>
      <c r="D22" s="19" t="str">
        <f>IF(COUNTA(D19:D21)=0,"",IF(NOT(ISNUMBER(D20)),"Add doses",IF(OR(D20&lt;0,D20&gt;10,D20&lt;&gt;INT(D20)),"Check doses",IF(D20=0,0,IF(NOT(ISNUMBER(D21)),"Add price",IF(OR(D21&lt;0,D21&gt;1000000),"Check amount",IF(ROUND(D21,2)&lt;&gt;D21,"Use cents",ROUND(D21*100,0)*D20/100)))))))</f>
      </c>
    </row>
    <row r="23" ht="26" customHeight="1">
      <c r="A23" s="15" t="str">
        <v>Person 3</v>
      </c>
      <c r="B23" s="15"/>
      <c r="C23" s="15"/>
      <c r="D23" s="15"/>
    </row>
    <row r="24" ht="34" customHeight="1">
      <c r="A24" s="2" t="str">
        <v>Product quoted</v>
      </c>
      <c r="B24" s="12"/>
      <c r="C24" s="12"/>
      <c r="D24" s="12"/>
    </row>
    <row r="25" ht="26" customHeight="1">
      <c r="A25" s="2" t="str">
        <v>Remaining doses (confirmed)</v>
      </c>
      <c r="B25" s="16"/>
      <c r="C25" s="16"/>
      <c r="D25" s="16"/>
    </row>
    <row r="26" ht="26" customHeight="1">
      <c r="A26" s="2" t="str">
        <v>Price per dose</v>
      </c>
      <c r="B26" s="17"/>
      <c r="C26" s="17"/>
      <c r="D26" s="17"/>
    </row>
    <row r="27" ht="26" customHeight="1">
      <c r="A27" s="2" t="str">
        <v>Line cost = doses × price</v>
      </c>
      <c r="B27" s="19" t="str">
        <f>IF(COUNTA(B24:B26)=0,"",IF(NOT(ISNUMBER(B25)),"Add doses",IF(OR(B25&lt;0,B25&gt;10,B25&lt;&gt;INT(B25)),"Check doses",IF(B25=0,0,IF(NOT(ISNUMBER(B26)),"Add price",IF(OR(B26&lt;0,B26&gt;1000000),"Check amount",IF(ROUND(B26,2)&lt;&gt;B26,"Use cents",ROUND(B26*100,0)*B25/100)))))))</f>
      </c>
      <c r="C27" s="19" t="str">
        <f>IF(COUNTA(C24:C26)=0,"",IF(NOT(ISNUMBER(C25)),"Add doses",IF(OR(C25&lt;0,C25&gt;10,C25&lt;&gt;INT(C25)),"Check doses",IF(C25=0,0,IF(NOT(ISNUMBER(C26)),"Add price",IF(OR(C26&lt;0,C26&gt;1000000),"Check amount",IF(ROUND(C26,2)&lt;&gt;C26,"Use cents",ROUND(C26*100,0)*C25/100)))))))</f>
      </c>
      <c r="D27" s="19" t="str">
        <f>IF(COUNTA(D24:D26)=0,"",IF(NOT(ISNUMBER(D25)),"Add doses",IF(OR(D25&lt;0,D25&gt;10,D25&lt;&gt;INT(D25)),"Check doses",IF(D25=0,0,IF(NOT(ISNUMBER(D26)),"Add price",IF(OR(D26&lt;0,D26&gt;1000000),"Check amount",IF(ROUND(D26,2)&lt;&gt;D26,"Use cents",ROUND(D26*100,0)*D25/100)))))))</f>
      </c>
    </row>
    <row r="28" ht="26" customHeight="1">
      <c r="A28" s="15" t="str">
        <v>Person 4</v>
      </c>
      <c r="B28" s="15"/>
      <c r="C28" s="15"/>
      <c r="D28" s="15"/>
    </row>
    <row r="29" ht="34" customHeight="1">
      <c r="A29" s="2" t="str">
        <v>Product quoted</v>
      </c>
      <c r="B29" s="12"/>
      <c r="C29" s="12"/>
      <c r="D29" s="12"/>
    </row>
    <row r="30" ht="26" customHeight="1">
      <c r="A30" s="2" t="str">
        <v>Remaining doses (confirmed)</v>
      </c>
      <c r="B30" s="16"/>
      <c r="C30" s="16"/>
      <c r="D30" s="16"/>
    </row>
    <row r="31" ht="26" customHeight="1">
      <c r="A31" s="2" t="str">
        <v>Price per dose</v>
      </c>
      <c r="B31" s="17"/>
      <c r="C31" s="17"/>
      <c r="D31" s="17"/>
    </row>
    <row r="32" ht="26" customHeight="1">
      <c r="A32" s="2" t="str">
        <v>Line cost = doses × price</v>
      </c>
      <c r="B32" s="19" t="str">
        <f>IF(COUNTA(B29:B31)=0,"",IF(NOT(ISNUMBER(B30)),"Add doses",IF(OR(B30&lt;0,B30&gt;10,B30&lt;&gt;INT(B30)),"Check doses",IF(B30=0,0,IF(NOT(ISNUMBER(B31)),"Add price",IF(OR(B31&lt;0,B31&gt;1000000),"Check amount",IF(ROUND(B31,2)&lt;&gt;B31,"Use cents",ROUND(B31*100,0)*B30/100)))))))</f>
      </c>
      <c r="C32" s="19" t="str">
        <f>IF(COUNTA(C29:C31)=0,"",IF(NOT(ISNUMBER(C30)),"Add doses",IF(OR(C30&lt;0,C30&gt;10,C30&lt;&gt;INT(C30)),"Check doses",IF(C30=0,0,IF(NOT(ISNUMBER(C31)),"Add price",IF(OR(C31&lt;0,C31&gt;1000000),"Check amount",IF(ROUND(C31,2)&lt;&gt;C31,"Use cents",ROUND(C31*100,0)*C30/100)))))))</f>
      </c>
      <c r="D32" s="19" t="str">
        <f>IF(COUNTA(D29:D31)=0,"",IF(NOT(ISNUMBER(D30)),"Add doses",IF(OR(D30&lt;0,D30&gt;10,D30&lt;&gt;INT(D30)),"Check doses",IF(D30=0,0,IF(NOT(ISNUMBER(D31)),"Add price",IF(OR(D31&lt;0,D31&gt;1000000),"Check amount",IF(ROUND(D31,2)&lt;&gt;D31,"Use cents",ROUND(D31*100,0)*D30/100)))))))</f>
      </c>
    </row>
    <row r="33" ht="26" customHeight="1">
      <c r="A33" s="2"/>
      <c r="B33" s="2"/>
      <c r="C33" s="2"/>
      <c r="D33" s="2"/>
    </row>
    <row r="34" ht="26" customHeight="1">
      <c r="A34" s="2"/>
      <c r="B34" s="2"/>
      <c r="C34" s="2"/>
      <c r="D34" s="2"/>
    </row>
    <row r="35" ht="26" customHeight="1">
      <c r="A35" s="2" t="str">
        <v>Dose subtotal</v>
      </c>
      <c r="B35" s="18" t="str">
        <f>IF(AND(OR(B17="",ISNUMBER(B17)),OR(B22="",ISNUMBER(B22)),OR(B27="",ISNUMBER(B27)),OR(B32="",ISNUMBER(B32))),IF(COUNT(B17,B22,B27,B32)=0,"Add a quote",SUM(B17,B22,B27,B32)),"Check people")</f>
        <v>Add a quote</v>
      </c>
      <c r="C35" s="18" t="str">
        <f>IF(AND(OR(C17="",ISNUMBER(C17)),OR(C22="",ISNUMBER(C22)),OR(C27="",ISNUMBER(C27)),OR(C32="",ISNUMBER(C32))),IF(COUNT(C17,C22,C27,C32)=0,"Add a quote",SUM(C17,C22,C27,C32)),"Check people")</f>
        <v>Add a quote</v>
      </c>
      <c r="D35" s="18" t="str">
        <f>IF(AND(OR(D17="",ISNUMBER(D17)),OR(D22="",ISNUMBER(D22)),OR(D27="",ISNUMBER(D27)),OR(D32="",ISNUMBER(D32))),IF(COUNT(D17,D22,D27,D32)=0,"Add a quote",SUM(D17,D22,D27,D32)),"Check people")</f>
        <v>Add a quote</v>
      </c>
    </row>
    <row r="36" ht="26" customHeight="1">
      <c r="A36" s="2" t="str">
        <v>Extra fees, total (0 if confirmed)</v>
      </c>
      <c r="B36" s="17"/>
      <c r="C36" s="17"/>
      <c r="D36" s="17"/>
    </row>
    <row r="37" ht="26" customHeight="1">
      <c r="A37" s="2" t="str">
        <v>Immediate discount, total</v>
      </c>
      <c r="B37" s="17" t="n">
        <v>0</v>
      </c>
      <c r="C37" s="17" t="n">
        <v>0</v>
      </c>
      <c r="D37" s="17" t="n">
        <v>0</v>
      </c>
    </row>
    <row r="38" ht="26" customHeight="1">
      <c r="A38" s="2" t="str">
        <v>Include travel?</v>
      </c>
      <c r="B38" s="20" t="str">
        <v>Exclude</v>
      </c>
      <c r="C38" s="20" t="str">
        <v>Exclude</v>
      </c>
      <c r="D38" s="20" t="str">
        <v>Exclude</v>
      </c>
    </row>
    <row r="39" ht="26" customHeight="1">
      <c r="A39" s="2" t="str">
        <v>Travel cost, once per option</v>
      </c>
      <c r="B39" s="17"/>
      <c r="C39" s="17"/>
      <c r="D39" s="17"/>
    </row>
    <row r="40" ht="26" customHeight="1">
      <c r="A40" s="2"/>
      <c r="B40" s="18"/>
      <c r="C40" s="18"/>
      <c r="D40" s="18"/>
    </row>
    <row r="41" ht="26" customHeight="1">
      <c r="A41" s="2" t="str">
        <v>After fees and discount</v>
      </c>
      <c r="B41" s="18" t="str">
        <f>IF(NOT(ISNUMBER(B35)),"Check people",IF(NOT(ISNUMBER(B36)),"Add fees",IF(OR(B36&lt;0,B36&gt;1000000),"Check amount",IF(ROUND(B36,2)&lt;&gt;B36,"Use cents",IF(NOT(ISNUMBER(B37)),"Add discount",IF(OR(B37&lt;0,B37&gt;1000000),"Check amount",IF(ROUND(B37,2)&lt;&gt;B37,"Use cents",IF(ROUND(B37*100,0)&gt;ROUND(B35*100,0)+ROUND(B36*100,0),"Check discount",(ROUND(B35*100,0)+ROUND(B36*100,0)-ROUND(B37*100,0))/100))))))))</f>
        <v>Check people</v>
      </c>
      <c r="C41" s="18" t="str">
        <f>IF(NOT(ISNUMBER(C35)),"Check people",IF(NOT(ISNUMBER(C36)),"Add fees",IF(OR(C36&lt;0,C36&gt;1000000),"Check amount",IF(ROUND(C36,2)&lt;&gt;C36,"Use cents",IF(NOT(ISNUMBER(C37)),"Add discount",IF(OR(C37&lt;0,C37&gt;1000000),"Check amount",IF(ROUND(C37,2)&lt;&gt;C37,"Use cents",IF(ROUND(C37*100,0)&gt;ROUND(C35*100,0)+ROUND(C36*100,0),"Check discount",(ROUND(C35*100,0)+ROUND(C36*100,0)-ROUND(C37*100,0))/100))))))))</f>
        <v>Check people</v>
      </c>
      <c r="D41" s="18" t="str">
        <f>IF(NOT(ISNUMBER(D35)),"Check people",IF(NOT(ISNUMBER(D36)),"Add fees",IF(OR(D36&lt;0,D36&gt;1000000),"Check amount",IF(ROUND(D36,2)&lt;&gt;D36,"Use cents",IF(NOT(ISNUMBER(D37)),"Add discount",IF(OR(D37&lt;0,D37&gt;1000000),"Check amount",IF(ROUND(D37,2)&lt;&gt;D37,"Use cents",IF(ROUND(D37*100,0)&gt;ROUND(D35*100,0)+ROUND(D36*100,0),"Check discount",(ROUND(D35*100,0)+ROUND(D36*100,0)-ROUND(D37*100,0))/100))))))))</f>
        <v>Check people</v>
      </c>
    </row>
    <row r="42" ht="26" customHeight="1">
      <c r="A42" s="2" t="str">
        <v>Travel included</v>
      </c>
      <c r="B42" s="18" t="n">
        <f>IF(B38="Exclude",0,IF(B38="Include",IF(NOT(ISNUMBER(B39)),"Add travel",IF(OR(B39&lt;0,B39&gt;1000000),"Check amount",IF(ROUND(B39,2)&lt;&gt;B39,"Use cents",ROUND(B39*100,0)/100))),"Choose travel"))</f>
        <v>0</v>
      </c>
      <c r="C42" s="18" t="n">
        <f>IF(C38="Exclude",0,IF(C38="Include",IF(NOT(ISNUMBER(C39)),"Add travel",IF(OR(C39&lt;0,C39&gt;1000000),"Check amount",IF(ROUND(C39,2)&lt;&gt;C39,"Use cents",ROUND(C39*100,0)/100))),"Choose travel"))</f>
        <v>0</v>
      </c>
      <c r="D42" s="18" t="n">
        <f>IF(D38="Exclude",0,IF(D38="Include",IF(NOT(ISNUMBER(D39)),"Add travel",IF(OR(D39&lt;0,D39&gt;1000000),"Check amount",IF(ROUND(D39,2)&lt;&gt;D39,"Use cents",ROUND(D39*100,0)/100))),"Choose travel"))</f>
        <v>0</v>
      </c>
    </row>
    <row r="43" ht="26" customHeight="1">
      <c r="A43" s="22" t="str">
        <v>Total estimate</v>
      </c>
      <c r="B43" s="23" t="str">
        <f>IF(NOT(ISNUMBER(B41)),B41,IF(NOT(ISNUMBER(B42)),B42,(ROUND(B41*100,0)+ROUND(B42*100,0))/100))</f>
        <v>Check people</v>
      </c>
      <c r="C43" s="23" t="str">
        <f>IF(NOT(ISNUMBER(C41)),C41,IF(NOT(ISNUMBER(C42)),C42,(ROUND(C41*100,0)+ROUND(C42*100,0))/100))</f>
        <v>Check people</v>
      </c>
      <c r="D43" s="23" t="str">
        <f>IF(NOT(ISNUMBER(D41)),D41,IF(NOT(ISNUMBER(D42)),D42,(ROUND(D41*100,0)+ROUND(D42*100,0))/100))</f>
        <v>Check people</v>
      </c>
    </row>
    <row r="44" ht="26" customHeight="1">
      <c r="A44" s="2"/>
      <c r="B44" s="2"/>
      <c r="C44" s="2"/>
      <c r="D44" s="2"/>
    </row>
    <row r="45" ht="26" customHeight="1">
      <c r="A45" s="5" t="str">
        <v>Compare matching people and products.</v>
      </c>
      <c r="B45" s="5"/>
      <c r="C45" s="5" t="str">
        <v>Totals are estimates, not booking quotes.</v>
      </c>
      <c r="D45" s="5"/>
    </row>
    <row r="46" ht="26" customHeight="1">
      <c r="A46" s="5" t="str">
        <v>Confirm doses with your provider.</v>
      </c>
      <c r="B46" s="5"/>
      <c r="C46" s="5" t="str">
        <v>Exclude coupons that are future rewards.</v>
      </c>
      <c r="D46" s="5"/>
    </row>
    <row r="47" ht="26" customHeight="1">
      <c r="A47" s="5" t="str">
        <v>Leave unused person blocks empty.</v>
      </c>
      <c r="B47" s="5"/>
      <c r="C47" s="5" t="str">
        <v>Do not share a filled workbook publicly.</v>
      </c>
      <c r="D47" s="5"/>
    </row>
    <row r="48" ht="26" customHeight="1">
      <c r="A48" s="2"/>
      <c r="B48" s="2"/>
      <c r="C48" s="2"/>
      <c r="D48" s="2"/>
    </row>
  </sheetData>
  <conditionalFormatting sqref="B6:D6">
    <cfRule type="expression" dxfId="0" priority="1">
      <formula>AND(B6&lt;&gt;"",NOT(ISNUMBER(B6)))</formula>
    </cfRule>
  </conditionalFormatting>
  <conditionalFormatting sqref="B17:D17">
    <cfRule type="expression" dxfId="1" priority="2">
      <formula>AND(B17&lt;&gt;"",NOT(ISNUMBER(B17)))</formula>
    </cfRule>
  </conditionalFormatting>
  <conditionalFormatting sqref="B22:D22">
    <cfRule type="expression" dxfId="2" priority="3">
      <formula>AND(B22&lt;&gt;"",NOT(ISNUMBER(B22)))</formula>
    </cfRule>
  </conditionalFormatting>
  <conditionalFormatting sqref="B27:D27">
    <cfRule type="expression" dxfId="3" priority="4">
      <formula>AND(B27&lt;&gt;"",NOT(ISNUMBER(B27)))</formula>
    </cfRule>
  </conditionalFormatting>
  <conditionalFormatting sqref="B32:D32">
    <cfRule type="expression" dxfId="4" priority="5">
      <formula>AND(B32&lt;&gt;"",NOT(ISNUMBER(B32)))</formula>
    </cfRule>
  </conditionalFormatting>
  <conditionalFormatting sqref="B35:D35">
    <cfRule type="expression" dxfId="5" priority="6">
      <formula>AND(B35&lt;&gt;"",NOT(ISNUMBER(B35)))</formula>
    </cfRule>
  </conditionalFormatting>
  <conditionalFormatting sqref="B41:D43">
    <cfRule type="expression" dxfId="6" priority="7">
      <formula>AND(B41&lt;&gt;"",NOT(ISNUMBER(B41)))</formula>
    </cfRule>
  </conditionalFormatting>
  <dataValidations count="12">
    <dataValidation type="whole" operator="between" sqref="B15:D15">
      <formula1>0</formula1>
      <formula2>10</formula2>
    </dataValidation>
    <dataValidation type="decimal" operator="between" sqref="B16:D16">
      <formula1>0</formula1>
      <formula2>1000000</formula2>
    </dataValidation>
    <dataValidation type="whole" operator="between" sqref="B20:D20">
      <formula1>0</formula1>
      <formula2>10</formula2>
    </dataValidation>
    <dataValidation type="decimal" operator="between" sqref="B21:D21">
      <formula1>0</formula1>
      <formula2>1000000</formula2>
    </dataValidation>
    <dataValidation type="whole" operator="between" sqref="B25:D25">
      <formula1>0</formula1>
      <formula2>10</formula2>
    </dataValidation>
    <dataValidation type="decimal" operator="between" sqref="B26:D26">
      <formula1>0</formula1>
      <formula2>1000000</formula2>
    </dataValidation>
    <dataValidation type="whole" operator="between" sqref="B30:D30">
      <formula1>0</formula1>
      <formula2>10</formula2>
    </dataValidation>
    <dataValidation type="decimal" operator="between" sqref="B31:D31">
      <formula1>0</formula1>
      <formula2>1000000</formula2>
    </dataValidation>
    <dataValidation type="list" sqref="B38:D38">
      <formula1>"Exclude,Include"</formula1>
    </dataValidation>
    <dataValidation type="decimal" operator="between" sqref="B36:D36">
      <formula1>0</formula1>
      <formula2>1000000</formula2>
    </dataValidation>
    <dataValidation type="decimal" operator="between" sqref="B37:D37">
      <formula1>0</formula1>
      <formula2>1000000</formula2>
    </dataValidation>
    <dataValidation type="decimal" operator="between" sqref="B39:D39">
      <formula1>0</formula1>
      <formula2>1000000</formula2>
    </dataValidation>
  </dataValidations>
  <hyperlinks>
    <hyperlink ref="A3" r:id="rIdOfficialWebsite"/>
    <hyperlink ref="C3" r:id="rIdCostGuid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95A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9" hidden="0" customWidth="1"/>
    <col min="2" max="2" width="27" hidden="0" customWidth="1"/>
    <col min="3" max="3" width="27" hidden="0" customWidth="1"/>
    <col min="4" max="4" width="27" hidden="0" customWidth="1"/>
  </cols>
  <sheetData>
    <row r="1" ht="26" customHeight="1">
      <c r="A1" s="2"/>
      <c r="B1" s="2"/>
      <c r="C1" s="2"/>
      <c r="D1" s="2"/>
    </row>
    <row r="2" ht="34" customHeight="1">
      <c r="A2" s="3" t="str">
        <v>Family example (fictional)</v>
      </c>
      <c r="B2" s="2"/>
      <c r="C2" s="2"/>
      <c r="D2" s="2"/>
    </row>
    <row r="3" ht="26" customHeight="1">
      <c r="A3" s="4" t="str">
        <v>https://flushotsnearme.com/</v>
      </c>
      <c r="B3" s="4"/>
      <c r="C3" s="4" t="str">
        <v>https://flushotsnearme.com/flu-shot-cost/</v>
      </c>
      <c r="D3" s="4"/>
    </row>
    <row r="4" ht="26" customHeight="1">
      <c r="A4" s="5" t="str">
        <v>Example prices are invented.</v>
      </c>
      <c r="B4" s="5" t="str">
        <v>USD. Blank fees stay unknown.</v>
      </c>
      <c r="C4" s="5"/>
      <c r="D4" s="5" t="str">
        <v>Up to 4 people / 3 options.</v>
      </c>
    </row>
    <row r="5" ht="30" customHeight="1">
      <c r="A5" s="7" t="str">
        <v>Comparison</v>
      </c>
      <c r="B5" s="8" t="str">
        <v>Option A</v>
      </c>
      <c r="C5" s="8" t="str">
        <v>Option B</v>
      </c>
      <c r="D5" s="8" t="str">
        <v>Option C</v>
      </c>
    </row>
    <row r="6" ht="34" customHeight="1">
      <c r="A6" s="10" t="str">
        <v>Estimated total</v>
      </c>
      <c r="B6" s="24" t="n">
        <f>B43</f>
        <v>99</v>
      </c>
      <c r="C6" s="24" t="n">
        <f>C43</f>
        <v>118</v>
      </c>
      <c r="D6" s="24" t="str">
        <f>D43</f>
        <v>Add fees</v>
      </c>
    </row>
    <row r="7" ht="26" customHeight="1">
      <c r="A7" s="2"/>
      <c r="B7" s="2"/>
      <c r="C7" s="2"/>
      <c r="D7" s="2"/>
    </row>
    <row r="8" ht="36" customHeight="1">
      <c r="A8" s="2" t="str">
        <v>Provider / location</v>
      </c>
      <c r="B8" s="12" t="str">
        <v>Fictional option A</v>
      </c>
      <c r="C8" s="12" t="str">
        <v>Fictional option B</v>
      </c>
      <c r="D8" s="12" t="str">
        <v>Fictional option C</v>
      </c>
    </row>
    <row r="9" ht="36" customHeight="1">
      <c r="A9" s="2" t="str">
        <v>Quote source or contact</v>
      </c>
      <c r="B9" s="12" t="str">
        <v>Invented example only</v>
      </c>
      <c r="C9" s="12" t="str">
        <v>Invented example only</v>
      </c>
      <c r="D9" s="12" t="str">
        <v>Invented example only</v>
      </c>
    </row>
    <row r="10" ht="36" customHeight="1">
      <c r="A10" s="2" t="str">
        <v>Date checked (MM/DD/YY)</v>
      </c>
      <c r="B10" s="13"/>
      <c r="C10" s="13"/>
      <c r="D10" s="13"/>
    </row>
    <row r="11" ht="36" customHeight="1">
      <c r="A11" s="2" t="str">
        <v>Conditions to confirm</v>
      </c>
      <c r="B11" s="12" t="str">
        <v>Illustrates household math</v>
      </c>
      <c r="C11" s="12" t="str">
        <v>Illustrates extra fees</v>
      </c>
      <c r="D11" s="12" t="str">
        <v>Extra fees not yet known</v>
      </c>
    </row>
    <row r="12" ht="26" customHeight="1">
      <c r="A12" s="2"/>
      <c r="B12" s="2"/>
      <c r="C12" s="2"/>
      <c r="D12" s="2"/>
    </row>
    <row r="13" ht="26" customHeight="1">
      <c r="A13" s="15" t="str">
        <v>Person 1</v>
      </c>
      <c r="B13" s="15"/>
      <c r="C13" s="15"/>
      <c r="D13" s="15"/>
    </row>
    <row r="14" ht="34" customHeight="1">
      <c r="A14" s="2" t="str">
        <v>Product quoted</v>
      </c>
      <c r="B14" s="12" t="str">
        <v>Example product 1</v>
      </c>
      <c r="C14" s="12" t="str">
        <v>Example product 1</v>
      </c>
      <c r="D14" s="12" t="str">
        <v>Example product 1</v>
      </c>
    </row>
    <row r="15" ht="26" customHeight="1">
      <c r="A15" s="2" t="str">
        <v>Remaining doses (confirmed)</v>
      </c>
      <c r="B15" s="16" t="n">
        <v>1</v>
      </c>
      <c r="C15" s="16" t="n">
        <v>1</v>
      </c>
      <c r="D15" s="16" t="n">
        <v>1</v>
      </c>
    </row>
    <row r="16" ht="26" customHeight="1">
      <c r="A16" s="2" t="str">
        <v>Price per dose</v>
      </c>
      <c r="B16" s="17" t="n">
        <v>25</v>
      </c>
      <c r="C16" s="17" t="n">
        <v>30</v>
      </c>
      <c r="D16" s="17" t="n">
        <v>20</v>
      </c>
    </row>
    <row r="17" ht="26" customHeight="1">
      <c r="A17" s="2" t="str">
        <v>Line cost = doses × price</v>
      </c>
      <c r="B17" s="19" t="n">
        <f>IF(COUNTA(B14:B16)=0,"",IF(NOT(ISNUMBER(B15)),"Add doses",IF(OR(B15&lt;0,B15&gt;10,B15&lt;&gt;INT(B15)),"Check doses",IF(B15=0,0,IF(NOT(ISNUMBER(B16)),"Add price",IF(OR(B16&lt;0,B16&gt;1000000),"Check amount",IF(ROUND(B16,2)&lt;&gt;B16,"Use cents",ROUND(B16*100,0)*B15/100)))))))</f>
        <v>25</v>
      </c>
      <c r="C17" s="19" t="n">
        <f>IF(COUNTA(C14:C16)=0,"",IF(NOT(ISNUMBER(C15)),"Add doses",IF(OR(C15&lt;0,C15&gt;10,C15&lt;&gt;INT(C15)),"Check doses",IF(C15=0,0,IF(NOT(ISNUMBER(C16)),"Add price",IF(OR(C16&lt;0,C16&gt;1000000),"Check amount",IF(ROUND(C16,2)&lt;&gt;C16,"Use cents",ROUND(C16*100,0)*C15/100)))))))</f>
        <v>30</v>
      </c>
      <c r="D17" s="19" t="n">
        <f>IF(COUNTA(D14:D16)=0,"",IF(NOT(ISNUMBER(D15)),"Add doses",IF(OR(D15&lt;0,D15&gt;10,D15&lt;&gt;INT(D15)),"Check doses",IF(D15=0,0,IF(NOT(ISNUMBER(D16)),"Add price",IF(OR(D16&lt;0,D16&gt;1000000),"Check amount",IF(ROUND(D16,2)&lt;&gt;D16,"Use cents",ROUND(D16*100,0)*D15/100)))))))</f>
        <v>20</v>
      </c>
    </row>
    <row r="18" ht="26" customHeight="1">
      <c r="A18" s="15" t="str">
        <v>Person 2</v>
      </c>
      <c r="B18" s="15"/>
      <c r="C18" s="15"/>
      <c r="D18" s="15"/>
    </row>
    <row r="19" ht="34" customHeight="1">
      <c r="A19" s="2" t="str">
        <v>Product quoted</v>
      </c>
      <c r="B19" s="12" t="str">
        <v>Example product 2</v>
      </c>
      <c r="C19" s="12" t="str">
        <v>Example product 2</v>
      </c>
      <c r="D19" s="12" t="str">
        <v>Example product 2</v>
      </c>
    </row>
    <row r="20" ht="26" customHeight="1">
      <c r="A20" s="2" t="str">
        <v>Remaining doses (confirmed)</v>
      </c>
      <c r="B20" s="16" t="n">
        <v>2</v>
      </c>
      <c r="C20" s="16" t="n">
        <v>2</v>
      </c>
      <c r="D20" s="16" t="n">
        <v>2</v>
      </c>
    </row>
    <row r="21" ht="26" customHeight="1">
      <c r="A21" s="2" t="str">
        <v>Price per dose</v>
      </c>
      <c r="B21" s="17" t="n">
        <v>30</v>
      </c>
      <c r="C21" s="17" t="n">
        <v>35</v>
      </c>
      <c r="D21" s="17" t="n">
        <v>25</v>
      </c>
    </row>
    <row r="22" ht="26" customHeight="1">
      <c r="A22" s="2" t="str">
        <v>Line cost = doses × price</v>
      </c>
      <c r="B22" s="19" t="n">
        <f>IF(COUNTA(B19:B21)=0,"",IF(NOT(ISNUMBER(B20)),"Add doses",IF(OR(B20&lt;0,B20&gt;10,B20&lt;&gt;INT(B20)),"Check doses",IF(B20=0,0,IF(NOT(ISNUMBER(B21)),"Add price",IF(OR(B21&lt;0,B21&gt;1000000),"Check amount",IF(ROUND(B21,2)&lt;&gt;B21,"Use cents",ROUND(B21*100,0)*B20/100)))))))</f>
        <v>60</v>
      </c>
      <c r="C22" s="19" t="n">
        <f>IF(COUNTA(C19:C21)=0,"",IF(NOT(ISNUMBER(C20)),"Add doses",IF(OR(C20&lt;0,C20&gt;10,C20&lt;&gt;INT(C20)),"Check doses",IF(C20=0,0,IF(NOT(ISNUMBER(C21)),"Add price",IF(OR(C21&lt;0,C21&gt;1000000),"Check amount",IF(ROUND(C21,2)&lt;&gt;C21,"Use cents",ROUND(C21*100,0)*C20/100)))))))</f>
        <v>70</v>
      </c>
      <c r="D22" s="19" t="n">
        <f>IF(COUNTA(D19:D21)=0,"",IF(NOT(ISNUMBER(D20)),"Add doses",IF(OR(D20&lt;0,D20&gt;10,D20&lt;&gt;INT(D20)),"Check doses",IF(D20=0,0,IF(NOT(ISNUMBER(D21)),"Add price",IF(OR(D21&lt;0,D21&gt;1000000),"Check amount",IF(ROUND(D21,2)&lt;&gt;D21,"Use cents",ROUND(D21*100,0)*D20/100)))))))</f>
        <v>50</v>
      </c>
    </row>
    <row r="23" ht="26" customHeight="1">
      <c r="A23" s="15" t="str">
        <v>Person 3</v>
      </c>
      <c r="B23" s="15"/>
      <c r="C23" s="15"/>
      <c r="D23" s="15"/>
    </row>
    <row r="24" ht="34" customHeight="1">
      <c r="A24" s="2" t="str">
        <v>Product quoted</v>
      </c>
      <c r="B24" s="12"/>
      <c r="C24" s="12"/>
      <c r="D24" s="12"/>
    </row>
    <row r="25" ht="26" customHeight="1">
      <c r="A25" s="2" t="str">
        <v>Remaining doses (confirmed)</v>
      </c>
      <c r="B25" s="16"/>
      <c r="C25" s="16"/>
      <c r="D25" s="16"/>
    </row>
    <row r="26" ht="26" customHeight="1">
      <c r="A26" s="2" t="str">
        <v>Price per dose</v>
      </c>
      <c r="B26" s="17"/>
      <c r="C26" s="17"/>
      <c r="D26" s="17"/>
    </row>
    <row r="27" ht="26" customHeight="1">
      <c r="A27" s="2" t="str">
        <v>Line cost = doses × price</v>
      </c>
      <c r="B27" s="19" t="str">
        <f>IF(COUNTA(B24:B26)=0,"",IF(NOT(ISNUMBER(B25)),"Add doses",IF(OR(B25&lt;0,B25&gt;10,B25&lt;&gt;INT(B25)),"Check doses",IF(B25=0,0,IF(NOT(ISNUMBER(B26)),"Add price",IF(OR(B26&lt;0,B26&gt;1000000),"Check amount",IF(ROUND(B26,2)&lt;&gt;B26,"Use cents",ROUND(B26*100,0)*B25/100)))))))</f>
      </c>
      <c r="C27" s="19" t="str">
        <f>IF(COUNTA(C24:C26)=0,"",IF(NOT(ISNUMBER(C25)),"Add doses",IF(OR(C25&lt;0,C25&gt;10,C25&lt;&gt;INT(C25)),"Check doses",IF(C25=0,0,IF(NOT(ISNUMBER(C26)),"Add price",IF(OR(C26&lt;0,C26&gt;1000000),"Check amount",IF(ROUND(C26,2)&lt;&gt;C26,"Use cents",ROUND(C26*100,0)*C25/100)))))))</f>
      </c>
      <c r="D27" s="19" t="str">
        <f>IF(COUNTA(D24:D26)=0,"",IF(NOT(ISNUMBER(D25)),"Add doses",IF(OR(D25&lt;0,D25&gt;10,D25&lt;&gt;INT(D25)),"Check doses",IF(D25=0,0,IF(NOT(ISNUMBER(D26)),"Add price",IF(OR(D26&lt;0,D26&gt;1000000),"Check amount",IF(ROUND(D26,2)&lt;&gt;D26,"Use cents",ROUND(D26*100,0)*D25/100)))))))</f>
      </c>
    </row>
    <row r="28" ht="26" customHeight="1">
      <c r="A28" s="15" t="str">
        <v>Person 4</v>
      </c>
      <c r="B28" s="15"/>
      <c r="C28" s="15"/>
      <c r="D28" s="15"/>
    </row>
    <row r="29" ht="34" customHeight="1">
      <c r="A29" s="2" t="str">
        <v>Product quoted</v>
      </c>
      <c r="B29" s="12"/>
      <c r="C29" s="12"/>
      <c r="D29" s="12"/>
    </row>
    <row r="30" ht="26" customHeight="1">
      <c r="A30" s="2" t="str">
        <v>Remaining doses (confirmed)</v>
      </c>
      <c r="B30" s="16"/>
      <c r="C30" s="16"/>
      <c r="D30" s="16"/>
    </row>
    <row r="31" ht="26" customHeight="1">
      <c r="A31" s="2" t="str">
        <v>Price per dose</v>
      </c>
      <c r="B31" s="17"/>
      <c r="C31" s="17"/>
      <c r="D31" s="17"/>
    </row>
    <row r="32" ht="26" customHeight="1">
      <c r="A32" s="2" t="str">
        <v>Line cost = doses × price</v>
      </c>
      <c r="B32" s="19" t="str">
        <f>IF(COUNTA(B29:B31)=0,"",IF(NOT(ISNUMBER(B30)),"Add doses",IF(OR(B30&lt;0,B30&gt;10,B30&lt;&gt;INT(B30)),"Check doses",IF(B30=0,0,IF(NOT(ISNUMBER(B31)),"Add price",IF(OR(B31&lt;0,B31&gt;1000000),"Check amount",IF(ROUND(B31,2)&lt;&gt;B31,"Use cents",ROUND(B31*100,0)*B30/100)))))))</f>
      </c>
      <c r="C32" s="19" t="str">
        <f>IF(COUNTA(C29:C31)=0,"",IF(NOT(ISNUMBER(C30)),"Add doses",IF(OR(C30&lt;0,C30&gt;10,C30&lt;&gt;INT(C30)),"Check doses",IF(C30=0,0,IF(NOT(ISNUMBER(C31)),"Add price",IF(OR(C31&lt;0,C31&gt;1000000),"Check amount",IF(ROUND(C31,2)&lt;&gt;C31,"Use cents",ROUND(C31*100,0)*C30/100)))))))</f>
      </c>
      <c r="D32" s="19" t="str">
        <f>IF(COUNTA(D29:D31)=0,"",IF(NOT(ISNUMBER(D30)),"Add doses",IF(OR(D30&lt;0,D30&gt;10,D30&lt;&gt;INT(D30)),"Check doses",IF(D30=0,0,IF(NOT(ISNUMBER(D31)),"Add price",IF(OR(D31&lt;0,D31&gt;1000000),"Check amount",IF(ROUND(D31,2)&lt;&gt;D31,"Use cents",ROUND(D31*100,0)*D30/100)))))))</f>
      </c>
    </row>
    <row r="33" ht="26" customHeight="1">
      <c r="A33" s="2"/>
      <c r="B33" s="2"/>
      <c r="C33" s="2"/>
      <c r="D33" s="2"/>
    </row>
    <row r="34" ht="26" customHeight="1">
      <c r="A34" s="2"/>
      <c r="B34" s="2"/>
      <c r="C34" s="2"/>
      <c r="D34" s="2"/>
    </row>
    <row r="35" ht="26" customHeight="1">
      <c r="A35" s="2" t="str">
        <v>Dose subtotal</v>
      </c>
      <c r="B35" s="18" t="n">
        <f>IF(AND(OR(B17="",ISNUMBER(B17)),OR(B22="",ISNUMBER(B22)),OR(B27="",ISNUMBER(B27)),OR(B32="",ISNUMBER(B32))),IF(COUNT(B17,B22,B27,B32)=0,"Add a quote",SUM(B17,B22,B27,B32)),"Check people")</f>
        <v>85</v>
      </c>
      <c r="C35" s="18" t="n">
        <f>IF(AND(OR(C17="",ISNUMBER(C17)),OR(C22="",ISNUMBER(C22)),OR(C27="",ISNUMBER(C27)),OR(C32="",ISNUMBER(C32))),IF(COUNT(C17,C22,C27,C32)=0,"Add a quote",SUM(C17,C22,C27,C32)),"Check people")</f>
        <v>100</v>
      </c>
      <c r="D35" s="18" t="n">
        <f>IF(AND(OR(D17="",ISNUMBER(D17)),OR(D22="",ISNUMBER(D22)),OR(D27="",ISNUMBER(D27)),OR(D32="",ISNUMBER(D32))),IF(COUNT(D17,D22,D27,D32)=0,"Add a quote",SUM(D17,D22,D27,D32)),"Check people")</f>
        <v>70</v>
      </c>
    </row>
    <row r="36" ht="26" customHeight="1">
      <c r="A36" s="2" t="str">
        <v>Extra fees, total (0 if confirmed)</v>
      </c>
      <c r="B36" s="17" t="n">
        <v>0</v>
      </c>
      <c r="C36" s="17" t="n">
        <v>10</v>
      </c>
      <c r="D36" s="17"/>
    </row>
    <row r="37" ht="26" customHeight="1">
      <c r="A37" s="2" t="str">
        <v>Immediate discount, total</v>
      </c>
      <c r="B37" s="17" t="n">
        <v>0</v>
      </c>
      <c r="C37" s="17" t="n">
        <v>0</v>
      </c>
      <c r="D37" s="17" t="n">
        <v>0</v>
      </c>
    </row>
    <row r="38" ht="26" customHeight="1">
      <c r="A38" s="2" t="str">
        <v>Include travel?</v>
      </c>
      <c r="B38" s="20" t="str">
        <v>Include</v>
      </c>
      <c r="C38" s="20" t="str">
        <v>Include</v>
      </c>
      <c r="D38" s="20" t="str">
        <v>Exclude</v>
      </c>
    </row>
    <row r="39" ht="26" customHeight="1">
      <c r="A39" s="2" t="str">
        <v>Travel cost, once per option</v>
      </c>
      <c r="B39" s="17" t="n">
        <v>14</v>
      </c>
      <c r="C39" s="17" t="n">
        <v>8</v>
      </c>
      <c r="D39" s="17"/>
    </row>
    <row r="40" ht="26" customHeight="1">
      <c r="A40" s="2"/>
      <c r="B40" s="18"/>
      <c r="C40" s="18"/>
      <c r="D40" s="18"/>
    </row>
    <row r="41" ht="26" customHeight="1">
      <c r="A41" s="2" t="str">
        <v>After fees and discount</v>
      </c>
      <c r="B41" s="18" t="n">
        <f>IF(NOT(ISNUMBER(B35)),"Check people",IF(NOT(ISNUMBER(B36)),"Add fees",IF(OR(B36&lt;0,B36&gt;1000000),"Check amount",IF(ROUND(B36,2)&lt;&gt;B36,"Use cents",IF(NOT(ISNUMBER(B37)),"Add discount",IF(OR(B37&lt;0,B37&gt;1000000),"Check amount",IF(ROUND(B37,2)&lt;&gt;B37,"Use cents",IF(ROUND(B37*100,0)&gt;ROUND(B35*100,0)+ROUND(B36*100,0),"Check discount",(ROUND(B35*100,0)+ROUND(B36*100,0)-ROUND(B37*100,0))/100))))))))</f>
        <v>85</v>
      </c>
      <c r="C41" s="18" t="n">
        <f>IF(NOT(ISNUMBER(C35)),"Check people",IF(NOT(ISNUMBER(C36)),"Add fees",IF(OR(C36&lt;0,C36&gt;1000000),"Check amount",IF(ROUND(C36,2)&lt;&gt;C36,"Use cents",IF(NOT(ISNUMBER(C37)),"Add discount",IF(OR(C37&lt;0,C37&gt;1000000),"Check amount",IF(ROUND(C37,2)&lt;&gt;C37,"Use cents",IF(ROUND(C37*100,0)&gt;ROUND(C35*100,0)+ROUND(C36*100,0),"Check discount",(ROUND(C35*100,0)+ROUND(C36*100,0)-ROUND(C37*100,0))/100))))))))</f>
        <v>110</v>
      </c>
      <c r="D41" s="18" t="str">
        <f>IF(NOT(ISNUMBER(D35)),"Check people",IF(NOT(ISNUMBER(D36)),"Add fees",IF(OR(D36&lt;0,D36&gt;1000000),"Check amount",IF(ROUND(D36,2)&lt;&gt;D36,"Use cents",IF(NOT(ISNUMBER(D37)),"Add discount",IF(OR(D37&lt;0,D37&gt;1000000),"Check amount",IF(ROUND(D37,2)&lt;&gt;D37,"Use cents",IF(ROUND(D37*100,0)&gt;ROUND(D35*100,0)+ROUND(D36*100,0),"Check discount",(ROUND(D35*100,0)+ROUND(D36*100,0)-ROUND(D37*100,0))/100))))))))</f>
        <v>Add fees</v>
      </c>
    </row>
    <row r="42" ht="26" customHeight="1">
      <c r="A42" s="2" t="str">
        <v>Travel included</v>
      </c>
      <c r="B42" s="18" t="n">
        <f>IF(B38="Exclude",0,IF(B38="Include",IF(NOT(ISNUMBER(B39)),"Add travel",IF(OR(B39&lt;0,B39&gt;1000000),"Check amount",IF(ROUND(B39,2)&lt;&gt;B39,"Use cents",ROUND(B39*100,0)/100))),"Choose travel"))</f>
        <v>14</v>
      </c>
      <c r="C42" s="18" t="n">
        <f>IF(C38="Exclude",0,IF(C38="Include",IF(NOT(ISNUMBER(C39)),"Add travel",IF(OR(C39&lt;0,C39&gt;1000000),"Check amount",IF(ROUND(C39,2)&lt;&gt;C39,"Use cents",ROUND(C39*100,0)/100))),"Choose travel"))</f>
        <v>8</v>
      </c>
      <c r="D42" s="18" t="n">
        <f>IF(D38="Exclude",0,IF(D38="Include",IF(NOT(ISNUMBER(D39)),"Add travel",IF(OR(D39&lt;0,D39&gt;1000000),"Check amount",IF(ROUND(D39,2)&lt;&gt;D39,"Use cents",ROUND(D39*100,0)/100))),"Choose travel"))</f>
        <v>0</v>
      </c>
    </row>
    <row r="43" ht="26" customHeight="1">
      <c r="A43" s="22" t="str">
        <v>Total estimate</v>
      </c>
      <c r="B43" s="23" t="n">
        <f>IF(NOT(ISNUMBER(B41)),B41,IF(NOT(ISNUMBER(B42)),B42,(ROUND(B41*100,0)+ROUND(B42*100,0))/100))</f>
        <v>99</v>
      </c>
      <c r="C43" s="23" t="n">
        <f>IF(NOT(ISNUMBER(C41)),C41,IF(NOT(ISNUMBER(C42)),C42,(ROUND(C41*100,0)+ROUND(C42*100,0))/100))</f>
        <v>118</v>
      </c>
      <c r="D43" s="23" t="str">
        <f>IF(NOT(ISNUMBER(D41)),D41,IF(NOT(ISNUMBER(D42)),D42,(ROUND(D41*100,0)+ROUND(D42*100,0))/100))</f>
        <v>Add fees</v>
      </c>
    </row>
    <row r="44" ht="26" customHeight="1">
      <c r="A44" s="2"/>
      <c r="B44" s="2"/>
      <c r="C44" s="2"/>
      <c r="D44" s="2"/>
    </row>
    <row r="45" ht="26" customHeight="1">
      <c r="A45" s="5" t="str">
        <v>Compare matching people and products.</v>
      </c>
      <c r="B45" s="5"/>
      <c r="C45" s="5" t="str">
        <v>Totals are estimates, not booking quotes.</v>
      </c>
      <c r="D45" s="5"/>
    </row>
    <row r="46" ht="26" customHeight="1">
      <c r="A46" s="5" t="str">
        <v>Confirm doses with your provider.</v>
      </c>
      <c r="B46" s="5"/>
      <c r="C46" s="5" t="str">
        <v>Exclude coupons that are future rewards.</v>
      </c>
      <c r="D46" s="5"/>
    </row>
    <row r="47" ht="26" customHeight="1">
      <c r="A47" s="5" t="str">
        <v>Leave unused person blocks empty.</v>
      </c>
      <c r="B47" s="5"/>
      <c r="C47" s="5" t="str">
        <v>Do not share a filled workbook publicly.</v>
      </c>
      <c r="D47" s="5"/>
    </row>
    <row r="48" ht="26" customHeight="1">
      <c r="A48" s="2"/>
      <c r="B48" s="2"/>
      <c r="C48" s="2"/>
      <c r="D48" s="2"/>
    </row>
  </sheetData>
  <conditionalFormatting sqref="B6:D6">
    <cfRule type="expression" dxfId="7" priority="1">
      <formula>AND(B6&lt;&gt;"",NOT(ISNUMBER(B6)))</formula>
    </cfRule>
  </conditionalFormatting>
  <conditionalFormatting sqref="B17:D17">
    <cfRule type="expression" dxfId="8" priority="2">
      <formula>AND(B17&lt;&gt;"",NOT(ISNUMBER(B17)))</formula>
    </cfRule>
  </conditionalFormatting>
  <conditionalFormatting sqref="B22:D22">
    <cfRule type="expression" dxfId="9" priority="3">
      <formula>AND(B22&lt;&gt;"",NOT(ISNUMBER(B22)))</formula>
    </cfRule>
  </conditionalFormatting>
  <conditionalFormatting sqref="B27:D27">
    <cfRule type="expression" dxfId="10" priority="4">
      <formula>AND(B27&lt;&gt;"",NOT(ISNUMBER(B27)))</formula>
    </cfRule>
  </conditionalFormatting>
  <conditionalFormatting sqref="B32:D32">
    <cfRule type="expression" dxfId="11" priority="5">
      <formula>AND(B32&lt;&gt;"",NOT(ISNUMBER(B32)))</formula>
    </cfRule>
  </conditionalFormatting>
  <conditionalFormatting sqref="B35:D35">
    <cfRule type="expression" dxfId="12" priority="6">
      <formula>AND(B35&lt;&gt;"",NOT(ISNUMBER(B35)))</formula>
    </cfRule>
  </conditionalFormatting>
  <conditionalFormatting sqref="B41:D43">
    <cfRule type="expression" dxfId="13" priority="7">
      <formula>AND(B41&lt;&gt;"",NOT(ISNUMBER(B41)))</formula>
    </cfRule>
  </conditionalFormatting>
  <dataValidations count="12">
    <dataValidation type="whole" operator="between" sqref="B15:D15">
      <formula1>0</formula1>
      <formula2>10</formula2>
    </dataValidation>
    <dataValidation type="decimal" operator="between" sqref="B16:D16">
      <formula1>0</formula1>
      <formula2>1000000</formula2>
    </dataValidation>
    <dataValidation type="whole" operator="between" sqref="B20:D20">
      <formula1>0</formula1>
      <formula2>10</formula2>
    </dataValidation>
    <dataValidation type="decimal" operator="between" sqref="B21:D21">
      <formula1>0</formula1>
      <formula2>1000000</formula2>
    </dataValidation>
    <dataValidation type="whole" operator="between" sqref="B25:D25">
      <formula1>0</formula1>
      <formula2>10</formula2>
    </dataValidation>
    <dataValidation type="decimal" operator="between" sqref="B26:D26">
      <formula1>0</formula1>
      <formula2>1000000</formula2>
    </dataValidation>
    <dataValidation type="whole" operator="between" sqref="B30:D30">
      <formula1>0</formula1>
      <formula2>10</formula2>
    </dataValidation>
    <dataValidation type="decimal" operator="between" sqref="B31:D31">
      <formula1>0</formula1>
      <formula2>1000000</formula2>
    </dataValidation>
    <dataValidation type="list" sqref="B38:D38">
      <formula1>"Exclude,Include"</formula1>
    </dataValidation>
    <dataValidation type="decimal" operator="between" sqref="B36:D36">
      <formula1>0</formula1>
      <formula2>1000000</formula2>
    </dataValidation>
    <dataValidation type="decimal" operator="between" sqref="B37:D37">
      <formula1>0</formula1>
      <formula2>1000000</formula2>
    </dataValidation>
    <dataValidation type="decimal" operator="between" sqref="B39:D39">
      <formula1>0</formula1>
      <formula2>1000000</formula2>
    </dataValidation>
  </dataValidations>
  <hyperlinks>
    <hyperlink ref="A3" r:id="rIdOfficialWebsite"/>
    <hyperlink ref="C3" r:id="rIdCostGuide"/>
  </hyperlinks>
  <pageMargins left="0.7" right="0.7" top="0.75" bottom="0.75" header="0.3" footer="0.3"/>
</worksheet>
</file>